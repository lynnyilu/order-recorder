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">
      <text>
        <t xml:space="preserve">非必填
若填，填写Y/N
Y:需要仓配
N:不需要仓配</t>
      </text>
    </comment>
  </commentList>
</comments>
</file>

<file path=xl/sharedStrings.xml><?xml version="1.0" encoding="utf-8"?>
<sst xmlns="http://schemas.openxmlformats.org/spreadsheetml/2006/main" count="38" uniqueCount="30">
  <si>
    <t>*订单号</t>
  </si>
  <si>
    <t>*收货人</t>
  </si>
  <si>
    <t>*省</t>
  </si>
  <si>
    <t>*市</t>
  </si>
  <si>
    <t>*区</t>
  </si>
  <si>
    <t>*收货人详细地址</t>
  </si>
  <si>
    <t>收货人邮编</t>
  </si>
  <si>
    <t>*收货人手机号码</t>
  </si>
  <si>
    <t>收货人身份证号码</t>
  </si>
  <si>
    <t>*包裹毛重</t>
  </si>
  <si>
    <t>是否仓配</t>
  </si>
  <si>
    <t>*物品名称</t>
  </si>
  <si>
    <t>*物品条形码</t>
  </si>
  <si>
    <t>*物品数量</t>
  </si>
  <si>
    <t>备注信息</t>
  </si>
  <si>
    <t>发货人姓名</t>
  </si>
  <si>
    <t>发货人电话</t>
  </si>
  <si>
    <t>发货人详细地址</t>
  </si>
  <si>
    <t>陕西省西安市碑林区柏树林街道下马陵三号, 马小靖, 18829060635</t>
  </si>
  <si>
    <t>JR25126034E</t>
  </si>
  <si>
    <t>1</t>
  </si>
  <si>
    <t>N</t>
  </si>
  <si>
    <r>
      <rPr>
        <rFont val="Aptos Narrow"/>
        <color theme="1"/>
      </rPr>
      <t>Biostime</t>
    </r>
    <r>
      <rPr>
        <rFont val="宋体"/>
        <color theme="1"/>
        <sz val="10.0"/>
      </rPr>
      <t>合生元婴幼儿有机奶粉</t>
    </r>
    <r>
      <rPr>
        <rFont val="Calibri"/>
        <color theme="1"/>
        <sz val="11.0"/>
      </rPr>
      <t>3</t>
    </r>
    <r>
      <rPr>
        <rFont val="宋体"/>
        <color theme="1"/>
        <sz val="10.0"/>
      </rPr>
      <t>段</t>
    </r>
    <r>
      <rPr>
        <rFont val="Calibri"/>
        <color theme="1"/>
        <sz val="11.0"/>
      </rPr>
      <t>800g</t>
    </r>
  </si>
  <si>
    <t>9311770602013</t>
  </si>
  <si>
    <t>JJ</t>
  </si>
  <si>
    <t>0452341018</t>
  </si>
  <si>
    <t>Denistone East</t>
  </si>
  <si>
    <t>浙江省台州市温岭市东部新区森林包装, 林越, 17857065208</t>
  </si>
  <si>
    <t>温岭市</t>
  </si>
  <si>
    <r>
      <rPr>
        <rFont val="Aptos Narrow"/>
        <color theme="1"/>
      </rPr>
      <t>Biostime</t>
    </r>
    <r>
      <rPr>
        <rFont val="宋体"/>
        <color theme="1"/>
        <sz val="10.0"/>
      </rPr>
      <t>合生元婴幼儿有机奶粉</t>
    </r>
    <r>
      <rPr>
        <rFont val="Calibri"/>
        <color theme="1"/>
        <sz val="11.0"/>
      </rPr>
      <t>3</t>
    </r>
    <r>
      <rPr>
        <rFont val="宋体"/>
        <color theme="1"/>
        <sz val="10.0"/>
      </rPr>
      <t>段</t>
    </r>
    <r>
      <rPr>
        <rFont val="Calibri"/>
        <color theme="1"/>
        <sz val="11.0"/>
      </rPr>
      <t>800g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</si>
</sst>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0.0"/>
      <color theme="1"/>
      <name val="Aptos Narrow"/>
    </font>
    <font>
      <sz val="9.0"/>
      <color rgb="FF111111"/>
      <name val="&quot;PingFang SC&quot;"/>
    </font>
    <font>
      <color theme="1"/>
      <name val="Arial"/>
    </font>
    <font>
      <sz val="8.0"/>
      <color rgb="FF0F1115"/>
      <name val="Consolas"/>
    </font>
    <font>
      <sz val="11.0"/>
      <color theme="1"/>
      <name val="Aptos Narrow"/>
    </font>
    <font>
      <color theme="1"/>
      <name val="Aptos Narrow"/>
      <scheme val="minor"/>
    </font>
    <font>
      <sz val="9.0"/>
      <color rgb="FF11111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vertical="center"/>
    </xf>
    <xf borderId="1" fillId="0" fontId="1" numFmtId="49" xfId="0" applyAlignment="1" applyBorder="1" applyFont="1" applyNumberFormat="1">
      <alignment horizontal="center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vertical="center"/>
    </xf>
    <xf borderId="1" fillId="0" fontId="5" numFmtId="49" xfId="0" applyBorder="1" applyFont="1" applyNumberFormat="1"/>
    <xf borderId="0" fillId="0" fontId="6" numFmtId="0" xfId="0" applyFont="1"/>
    <xf borderId="0" fillId="2" fontId="7" numFmtId="0" xfId="0" applyAlignment="1" applyFont="1">
      <alignment readingOrder="0"/>
    </xf>
    <xf borderId="0" fillId="0" fontId="4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0.0"/>
    <col customWidth="1" min="3" max="3" width="8.63"/>
    <col customWidth="1" min="4" max="4" width="12.5"/>
    <col customWidth="1" min="5" max="6" width="8.63"/>
    <col customWidth="1" min="7" max="7" width="36.13"/>
    <col customWidth="1" min="8" max="8" width="17.75"/>
    <col customWidth="1" min="9" max="9" width="20.5"/>
    <col customWidth="1" min="10" max="26" width="8.63"/>
  </cols>
  <sheetData>
    <row r="1" ht="14.2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2" t="s">
        <v>15</v>
      </c>
      <c r="R1" s="2" t="s">
        <v>16</v>
      </c>
      <c r="S1" s="2" t="s">
        <v>17</v>
      </c>
    </row>
    <row r="2" ht="14.25" customHeight="1">
      <c r="A2" s="3" t="s">
        <v>18</v>
      </c>
      <c r="B2" s="4" t="s">
        <v>19</v>
      </c>
      <c r="C2" s="5" t="str">
        <f t="shared" ref="C2:C3" si="1">IF($A2="","",TRIM(MID($A2,FIND(",",$A2)+1,FIND(",",$A2,FIND(",",$A2)+1)-FIND(",",$A2)-1)))</f>
        <v>马小靖</v>
      </c>
      <c r="D2" s="5" t="str">
        <f t="shared" ref="D2:D3" si="2">IF($A2="","",IF(ISNUMBER(FIND("省",LEFT($A2,FIND(",",$A2)-1))),TRIM(LEFT(SUBSTITUTE(LEFT($A2,FIND(",",$A2)-1),"省",REPT(" ",100)),100))&amp;"省",IF(OR(LEFT($A2,2)="上海",LEFT($A2,2)="北京",LEFT($A2,2)="天津",LEFT($A2,2)="重庆"),LEFT($A2,2)&amp;"市","")))</f>
        <v>陕西省</v>
      </c>
      <c r="E2" s="5" t="str">
        <f t="shared" ref="E2:E3" si="3">IF($A2="","",IF(ISNUMBER(FIND("省",LEFT($A2,FIND(",",$A2)-1))),TRIM(MID(SUBSTITUTE(LEFT($A2,FIND(",",$A2)-1),"省","|"),FIND("|",SUBSTITUTE(LEFT($A2,FIND(",",$A2)-1),"省","|"))+1,FIND("市",SUBSTITUTE(LEFT($A2,FIND(",",$A2)-1),"省","|"))-FIND("|",SUBSTITUTE(LEFT($A2,FIND(",",$A2)-1),"省","|"))-1))&amp;"市","直辖市"))</f>
        <v>西安市</v>
      </c>
      <c r="F2" s="5" t="str">
        <f>IF($A2="","",TRIM(MID(LEFT($A2,FIND(",",$A2)-1),FIND("市",LEFT($A2,FIND(",",$A2)-1))+1,FIND("区",LEFT($A2,FIND(",",$A2)-1))-FIND("市",LEFT($A2,FIND(",",$A2)-1))-1))&amp;"区")</f>
        <v>碑林区</v>
      </c>
      <c r="G2" s="5" t="str">
        <f t="shared" ref="G2:G3" si="4">IF($A2="","",TRIM(LEFT($A2,FIND(",",$A2)-1)))</f>
        <v>陕西省西安市碑林区柏树林街道下马陵三号</v>
      </c>
      <c r="I2" s="5" t="str">
        <f t="shared" ref="I2:I3" si="5">IF($A2="","",TRIM(RIGHT(SUBSTITUTE($A2,",",REPT(" ",100)),100)))</f>
        <v>18829060635</v>
      </c>
      <c r="K2" s="6" t="s">
        <v>20</v>
      </c>
      <c r="L2" s="6" t="s">
        <v>21</v>
      </c>
      <c r="M2" s="7" t="s">
        <v>22</v>
      </c>
      <c r="N2" s="7" t="s">
        <v>23</v>
      </c>
      <c r="O2" s="6" t="s">
        <v>20</v>
      </c>
      <c r="Q2" s="6" t="s">
        <v>24</v>
      </c>
      <c r="R2" s="6" t="s">
        <v>25</v>
      </c>
      <c r="S2" s="6" t="s">
        <v>26</v>
      </c>
    </row>
    <row r="3" ht="14.25" customHeight="1">
      <c r="A3" s="8" t="s">
        <v>27</v>
      </c>
      <c r="B3" s="7" t="str">
        <f>"JR"&amp;TEXT(VALUE(MID(OFFSET(B3,-1,0),3,8))+1,"00000000")&amp;"E"</f>
        <v>JR25126035E</v>
      </c>
      <c r="C3" s="5" t="str">
        <f t="shared" si="1"/>
        <v>林越</v>
      </c>
      <c r="D3" s="5" t="str">
        <f t="shared" si="2"/>
        <v>浙江省</v>
      </c>
      <c r="E3" s="5" t="str">
        <f t="shared" si="3"/>
        <v>台州市</v>
      </c>
      <c r="F3" s="9" t="s">
        <v>28</v>
      </c>
      <c r="G3" s="5" t="str">
        <f t="shared" si="4"/>
        <v>浙江省台州市温岭市东部新区森林包装</v>
      </c>
      <c r="I3" s="5" t="str">
        <f t="shared" si="5"/>
        <v>17857065208</v>
      </c>
      <c r="K3" s="6" t="s">
        <v>20</v>
      </c>
      <c r="L3" s="6" t="s">
        <v>21</v>
      </c>
      <c r="M3" s="7" t="s">
        <v>29</v>
      </c>
      <c r="N3" s="7" t="s">
        <v>23</v>
      </c>
      <c r="O3" s="6" t="s">
        <v>20</v>
      </c>
      <c r="Q3" s="6" t="s">
        <v>24</v>
      </c>
      <c r="R3" s="6" t="s">
        <v>25</v>
      </c>
      <c r="S3" s="6" t="s">
        <v>26</v>
      </c>
    </row>
    <row r="4" ht="14.25" customHeight="1">
      <c r="A4" s="3"/>
      <c r="C4" s="5"/>
      <c r="D4" s="5"/>
      <c r="E4" s="5"/>
      <c r="F4" s="5"/>
      <c r="G4" s="5"/>
      <c r="I4" s="5"/>
      <c r="K4" s="6"/>
      <c r="L4" s="6"/>
      <c r="O4" s="6"/>
      <c r="Q4" s="6"/>
      <c r="R4" s="6"/>
      <c r="S4" s="6"/>
    </row>
    <row r="5" ht="14.25" customHeight="1">
      <c r="A5" s="3"/>
      <c r="C5" s="5"/>
      <c r="D5" s="5"/>
      <c r="E5" s="5"/>
      <c r="F5" s="5"/>
      <c r="G5" s="5"/>
      <c r="I5" s="5"/>
      <c r="K5" s="6"/>
      <c r="L5" s="6"/>
      <c r="O5" s="6"/>
      <c r="Q5" s="6"/>
      <c r="R5" s="6"/>
      <c r="S5" s="6"/>
    </row>
    <row r="6" ht="14.25" customHeight="1">
      <c r="A6" s="3"/>
      <c r="C6" s="5"/>
      <c r="D6" s="5"/>
      <c r="E6" s="5"/>
      <c r="F6" s="5"/>
      <c r="G6" s="5"/>
      <c r="I6" s="5"/>
      <c r="K6" s="6"/>
      <c r="L6" s="6"/>
      <c r="O6" s="6"/>
      <c r="Q6" s="6"/>
      <c r="R6" s="6"/>
      <c r="S6" s="6"/>
    </row>
    <row r="7" ht="14.25" customHeight="1">
      <c r="A7" s="8"/>
      <c r="C7" s="5"/>
      <c r="D7" s="9"/>
      <c r="E7" s="9"/>
      <c r="F7" s="9"/>
      <c r="G7" s="5"/>
      <c r="I7" s="5"/>
      <c r="K7" s="6"/>
      <c r="L7" s="6"/>
      <c r="O7" s="6"/>
      <c r="Q7" s="6"/>
      <c r="R7" s="6"/>
      <c r="S7" s="6"/>
    </row>
    <row r="8" ht="14.25" customHeight="1">
      <c r="A8" s="3"/>
      <c r="C8" s="5"/>
      <c r="D8" s="5"/>
      <c r="E8" s="5"/>
      <c r="F8" s="5"/>
      <c r="G8" s="5"/>
      <c r="I8" s="5"/>
      <c r="K8" s="6"/>
      <c r="L8" s="6"/>
      <c r="O8" s="6"/>
      <c r="Q8" s="6"/>
      <c r="R8" s="6"/>
      <c r="S8" s="6"/>
    </row>
    <row r="9" ht="14.25" customHeight="1">
      <c r="A9" s="3"/>
      <c r="C9" s="5"/>
      <c r="D9" s="5"/>
      <c r="E9" s="5"/>
      <c r="F9" s="5"/>
      <c r="G9" s="5"/>
      <c r="I9" s="5"/>
      <c r="K9" s="6"/>
      <c r="L9" s="6"/>
      <c r="O9" s="6"/>
      <c r="Q9" s="6"/>
      <c r="R9" s="6"/>
      <c r="S9" s="6"/>
    </row>
    <row r="10" ht="14.25" customHeight="1">
      <c r="A10" s="3"/>
      <c r="C10" s="5"/>
      <c r="D10" s="5"/>
      <c r="E10" s="5"/>
      <c r="F10" s="5"/>
      <c r="G10" s="5"/>
      <c r="I10" s="5"/>
      <c r="K10" s="6"/>
      <c r="L10" s="6"/>
      <c r="O10" s="6"/>
      <c r="Q10" s="6"/>
      <c r="R10" s="6"/>
      <c r="S10" s="6"/>
    </row>
    <row r="11" ht="14.25" customHeight="1">
      <c r="A11" s="3"/>
      <c r="C11" s="5"/>
      <c r="D11" s="5"/>
      <c r="E11" s="5"/>
      <c r="F11" s="5"/>
      <c r="G11" s="5"/>
      <c r="I11" s="5"/>
      <c r="K11" s="6"/>
      <c r="L11" s="6"/>
      <c r="O11" s="6"/>
      <c r="Q11" s="6"/>
      <c r="R11" s="6"/>
      <c r="S11" s="6"/>
    </row>
    <row r="12" ht="14.25" customHeight="1">
      <c r="A12" s="4"/>
      <c r="E12" s="5"/>
      <c r="F12" s="5"/>
      <c r="I12" s="5"/>
    </row>
    <row r="13" ht="14.25" customHeight="1"/>
    <row r="14" ht="14.25" customHeight="1"/>
    <row r="15" ht="14.25" customHeight="1"/>
    <row r="16" ht="14.25" customHeight="1"/>
    <row r="17" ht="14.25" customHeight="1">
      <c r="D17" s="3"/>
    </row>
    <row r="18" ht="14.25" customHeight="1"/>
    <row r="19" ht="14.25" customHeight="1"/>
    <row r="20" ht="14.25" customHeight="1">
      <c r="B20" s="3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